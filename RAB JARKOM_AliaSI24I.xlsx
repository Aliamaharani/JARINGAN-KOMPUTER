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 JARKOM (Format Rapi)" sheetId="1" r:id="rId5"/>
  </sheets>
  <definedNames/>
  <calcPr/>
</workbook>
</file>

<file path=xl/sharedStrings.xml><?xml version="1.0" encoding="utf-8"?>
<sst xmlns="http://schemas.openxmlformats.org/spreadsheetml/2006/main" count="182" uniqueCount="48">
  <si>
    <t xml:space="preserve"> </t>
  </si>
  <si>
    <t>Nama Kebutuhan</t>
  </si>
  <si>
    <t>Penjelasan</t>
  </si>
  <si>
    <t>QTY</t>
  </si>
  <si>
    <t>Satuan</t>
  </si>
  <si>
    <t>Harga</t>
  </si>
  <si>
    <t>Perkiraan Biaya</t>
  </si>
  <si>
    <t>RENCANA PENGELUARAN</t>
  </si>
  <si>
    <t>Router TP-Link ER605</t>
  </si>
  <si>
    <t>Gateway</t>
  </si>
  <si>
    <t>pcs</t>
  </si>
  <si>
    <t>Multilayer Switch 24 Port</t>
  </si>
  <si>
    <t>Core Switch</t>
  </si>
  <si>
    <t>Server Utama</t>
  </si>
  <si>
    <t>Pusat Database Kantor (Xeon/32GB)</t>
  </si>
  <si>
    <t>unit</t>
  </si>
  <si>
    <t>PC Admin Utama</t>
  </si>
  <si>
    <t>Kontrol Jaringan &amp; Admin Pusat (i5/16GB)</t>
  </si>
  <si>
    <t>TOTAL</t>
  </si>
  <si>
    <t>switch</t>
  </si>
  <si>
    <t>LANTAI 1</t>
  </si>
  <si>
    <t>Acces point</t>
  </si>
  <si>
    <t>webcam</t>
  </si>
  <si>
    <t>laptop</t>
  </si>
  <si>
    <t>pc</t>
  </si>
  <si>
    <t>Printer</t>
  </si>
  <si>
    <t>LANTAI 2</t>
  </si>
  <si>
    <t>smartphone</t>
  </si>
  <si>
    <t>PC</t>
  </si>
  <si>
    <t>LANTAI 3</t>
  </si>
  <si>
    <t>Tablet</t>
  </si>
  <si>
    <t>LANTAI 4</t>
  </si>
  <si>
    <t xml:space="preserve"> LANTAI 5</t>
  </si>
  <si>
    <t>LANTAI 6</t>
  </si>
  <si>
    <t>LANTAI 7</t>
  </si>
  <si>
    <t>Laptop</t>
  </si>
  <si>
    <t>LANTAI 8</t>
  </si>
  <si>
    <t>LANTAI 9</t>
  </si>
  <si>
    <t>LANTAI 10</t>
  </si>
  <si>
    <t>Jasa Instalasi jaringan</t>
  </si>
  <si>
    <t>Penarikan kabel &amp; konfigurasi awal</t>
  </si>
  <si>
    <t>Paket</t>
  </si>
  <si>
    <t>Biaya Maintenance Jaringan</t>
  </si>
  <si>
    <t>Perawatan &amp; troubleshoot (1 Tahun)</t>
  </si>
  <si>
    <t>Bulan</t>
  </si>
  <si>
    <t>Biaya Perawatan Perangkat</t>
  </si>
  <si>
    <t>Kebersihan &amp; service AC Ruang Server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</si>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</sst>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-421]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Times New Roman"/>
    </font>
    <font/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5" fillId="0" fontId="3" numFmtId="0" xfId="0" applyBorder="1" applyFont="1"/>
    <xf borderId="2" fillId="0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left" readingOrder="0"/>
    </xf>
    <xf borderId="3" fillId="0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horizontal="center" readingOrder="0" vertical="center"/>
    </xf>
    <xf borderId="2" fillId="0" fontId="4" numFmtId="165" xfId="0" applyAlignment="1" applyBorder="1" applyFont="1" applyNumberFormat="1">
      <alignment horizontal="left" readingOrder="0" vertical="center"/>
    </xf>
    <xf borderId="2" fillId="0" fontId="4" numFmtId="165" xfId="0" applyAlignment="1" applyBorder="1" applyFont="1" applyNumberFormat="1">
      <alignment horizontal="left" readingOrder="0"/>
    </xf>
    <xf borderId="3" fillId="0" fontId="1" numFmtId="0" xfId="0" applyAlignment="1" applyBorder="1" applyFont="1">
      <alignment horizontal="center"/>
    </xf>
    <xf borderId="0" fillId="3" fontId="2" numFmtId="0" xfId="0" applyAlignment="1" applyFill="1" applyFont="1">
      <alignment horizontal="left" readingOrder="0"/>
    </xf>
    <xf borderId="0" fillId="3" fontId="2" numFmtId="164" xfId="0" applyAlignment="1" applyFont="1" applyNumberFormat="1">
      <alignment horizontal="left" readingOrder="0"/>
    </xf>
    <xf borderId="1" fillId="0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7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/>
    </xf>
    <xf borderId="7" fillId="0" fontId="4" numFmtId="164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7" fillId="0" fontId="4" numFmtId="165" xfId="0" applyAlignment="1" applyBorder="1" applyFont="1" applyNumberFormat="1">
      <alignment horizontal="left" readingOrder="0" vertical="center"/>
    </xf>
    <xf borderId="7" fillId="0" fontId="4" numFmtId="0" xfId="0" applyAlignment="1" applyBorder="1" applyFont="1">
      <alignment horizontal="left" readingOrder="0" vertical="center"/>
    </xf>
    <xf borderId="8" fillId="3" fontId="2" numFmtId="0" xfId="0" applyAlignment="1" applyBorder="1" applyFont="1">
      <alignment horizontal="left" readingOrder="0" vertical="center"/>
    </xf>
    <xf borderId="9" fillId="0" fontId="3" numFmtId="0" xfId="0" applyBorder="1" applyFont="1"/>
    <xf borderId="10" fillId="0" fontId="3" numFmtId="0" xfId="0" applyBorder="1" applyFont="1"/>
    <xf borderId="2" fillId="3" fontId="2" numFmtId="165" xfId="0" applyAlignment="1" applyBorder="1" applyFont="1" applyNumberFormat="1">
      <alignment horizontal="left" readingOrder="0" vertical="center"/>
    </xf>
    <xf borderId="3" fillId="4" fontId="2" numFmtId="0" xfId="0" applyAlignment="1" applyBorder="1" applyFill="1" applyFont="1">
      <alignment horizontal="left" readingOrder="0"/>
    </xf>
    <xf borderId="2" fillId="4" fontId="4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0.88"/>
    <col customWidth="1" min="6" max="7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/>
      <c r="B2" s="4" t="s">
        <v>7</v>
      </c>
      <c r="C2" s="5"/>
      <c r="D2" s="5"/>
      <c r="E2" s="5"/>
      <c r="F2" s="5"/>
      <c r="G2" s="6"/>
    </row>
    <row r="3">
      <c r="A3" s="7">
        <v>1.0</v>
      </c>
      <c r="B3" s="8" t="s">
        <v>8</v>
      </c>
      <c r="C3" s="9" t="s">
        <v>9</v>
      </c>
      <c r="D3" s="10">
        <v>1.0</v>
      </c>
      <c r="E3" s="10" t="s">
        <v>10</v>
      </c>
      <c r="F3" s="11">
        <v>750000.0</v>
      </c>
      <c r="G3" s="11">
        <v>750000.0</v>
      </c>
    </row>
    <row r="4">
      <c r="A4" s="7">
        <v>2.0</v>
      </c>
      <c r="B4" s="8" t="s">
        <v>11</v>
      </c>
      <c r="C4" s="8" t="s">
        <v>12</v>
      </c>
      <c r="D4" s="10">
        <v>1.0</v>
      </c>
      <c r="E4" s="10" t="s">
        <v>10</v>
      </c>
      <c r="F4" s="11">
        <v>4500000.0</v>
      </c>
      <c r="G4" s="11">
        <v>4500000.0</v>
      </c>
    </row>
    <row r="5">
      <c r="A5" s="12">
        <v>3.0</v>
      </c>
      <c r="B5" s="13" t="s">
        <v>13</v>
      </c>
      <c r="C5" s="14" t="s">
        <v>14</v>
      </c>
      <c r="D5" s="15">
        <v>1.0</v>
      </c>
      <c r="E5" s="15" t="s">
        <v>15</v>
      </c>
      <c r="F5" s="16">
        <v>1.5E7</v>
      </c>
      <c r="G5" s="16">
        <v>1.5E7</v>
      </c>
    </row>
    <row r="6">
      <c r="A6" s="12">
        <v>4.0</v>
      </c>
      <c r="B6" s="13" t="s">
        <v>16</v>
      </c>
      <c r="C6" s="14" t="s">
        <v>17</v>
      </c>
      <c r="D6" s="15">
        <v>1.0</v>
      </c>
      <c r="E6" s="15" t="s">
        <v>15</v>
      </c>
      <c r="F6" s="17">
        <v>7500000.0</v>
      </c>
      <c r="G6" s="16">
        <v>7500000.0</v>
      </c>
    </row>
    <row r="7">
      <c r="A7" s="18"/>
      <c r="B7" s="19" t="s">
        <v>18</v>
      </c>
      <c r="G7" s="20">
        <f>SUM(G3:G6)</f>
        <v>27750000</v>
      </c>
    </row>
    <row r="8">
      <c r="A8" s="7">
        <v>1.0</v>
      </c>
      <c r="B8" s="8" t="s">
        <v>19</v>
      </c>
      <c r="C8" s="21" t="s">
        <v>20</v>
      </c>
      <c r="D8" s="10">
        <v>1.0</v>
      </c>
      <c r="E8" s="10" t="s">
        <v>10</v>
      </c>
      <c r="F8" s="11">
        <v>1500000.0</v>
      </c>
      <c r="G8" s="11">
        <v>1500000.0</v>
      </c>
    </row>
    <row r="9">
      <c r="A9" s="7">
        <v>2.0</v>
      </c>
      <c r="B9" s="8" t="s">
        <v>21</v>
      </c>
      <c r="C9" s="22"/>
      <c r="D9" s="10">
        <v>1.0</v>
      </c>
      <c r="E9" s="10" t="s">
        <v>10</v>
      </c>
      <c r="F9" s="11">
        <v>450000.0</v>
      </c>
      <c r="G9" s="11">
        <v>450000.0</v>
      </c>
    </row>
    <row r="10">
      <c r="A10" s="7">
        <v>3.0</v>
      </c>
      <c r="B10" s="8" t="s">
        <v>22</v>
      </c>
      <c r="C10" s="22"/>
      <c r="D10" s="10">
        <v>1.0</v>
      </c>
      <c r="E10" s="10" t="s">
        <v>10</v>
      </c>
      <c r="F10" s="11">
        <v>400000.0</v>
      </c>
      <c r="G10" s="11">
        <f t="shared" ref="G10:G13" si="1">D10*F10</f>
        <v>400000</v>
      </c>
    </row>
    <row r="11">
      <c r="A11" s="7">
        <v>4.0</v>
      </c>
      <c r="B11" s="8" t="s">
        <v>23</v>
      </c>
      <c r="C11" s="22"/>
      <c r="D11" s="10">
        <v>2.0</v>
      </c>
      <c r="E11" s="10" t="s">
        <v>10</v>
      </c>
      <c r="F11" s="11">
        <v>7000000.0</v>
      </c>
      <c r="G11" s="11">
        <f t="shared" si="1"/>
        <v>14000000</v>
      </c>
    </row>
    <row r="12">
      <c r="A12" s="7">
        <v>5.0</v>
      </c>
      <c r="B12" s="8" t="s">
        <v>24</v>
      </c>
      <c r="C12" s="22"/>
      <c r="D12" s="10">
        <v>3.0</v>
      </c>
      <c r="E12" s="10" t="s">
        <v>10</v>
      </c>
      <c r="F12" s="11">
        <v>6500000.0</v>
      </c>
      <c r="G12" s="11">
        <f t="shared" si="1"/>
        <v>19500000</v>
      </c>
    </row>
    <row r="13">
      <c r="A13" s="7">
        <v>6.0</v>
      </c>
      <c r="B13" s="8" t="s">
        <v>25</v>
      </c>
      <c r="C13" s="23"/>
      <c r="D13" s="10">
        <v>1.0</v>
      </c>
      <c r="E13" s="10" t="s">
        <v>10</v>
      </c>
      <c r="F13" s="11">
        <v>2500000.0</v>
      </c>
      <c r="G13" s="11">
        <f t="shared" si="1"/>
        <v>2500000</v>
      </c>
    </row>
    <row r="14">
      <c r="A14" s="18"/>
      <c r="B14" s="19" t="s">
        <v>18</v>
      </c>
      <c r="G14" s="20">
        <f>SUM(G8:G13)</f>
        <v>38350000</v>
      </c>
    </row>
    <row r="15">
      <c r="A15" s="7">
        <v>1.0</v>
      </c>
      <c r="B15" s="24" t="s">
        <v>19</v>
      </c>
      <c r="C15" s="25" t="s">
        <v>26</v>
      </c>
      <c r="D15" s="26">
        <v>1.0</v>
      </c>
      <c r="E15" s="26" t="s">
        <v>10</v>
      </c>
      <c r="F15" s="27">
        <v>1500000.0</v>
      </c>
      <c r="G15" s="27">
        <f t="shared" ref="G15:G21" si="2">D15*F15</f>
        <v>1500000</v>
      </c>
    </row>
    <row r="16">
      <c r="A16" s="7">
        <v>2.0</v>
      </c>
      <c r="B16" s="8" t="s">
        <v>21</v>
      </c>
      <c r="C16" s="22"/>
      <c r="D16" s="10">
        <v>1.0</v>
      </c>
      <c r="E16" s="10" t="s">
        <v>10</v>
      </c>
      <c r="F16" s="11">
        <v>450000.0</v>
      </c>
      <c r="G16" s="11">
        <f t="shared" si="2"/>
        <v>450000</v>
      </c>
    </row>
    <row r="17">
      <c r="A17" s="7">
        <v>3.0</v>
      </c>
      <c r="B17" s="8" t="s">
        <v>22</v>
      </c>
      <c r="C17" s="22"/>
      <c r="D17" s="10">
        <v>1.0</v>
      </c>
      <c r="E17" s="10" t="s">
        <v>10</v>
      </c>
      <c r="F17" s="11">
        <v>400000.0</v>
      </c>
      <c r="G17" s="11">
        <f t="shared" si="2"/>
        <v>400000</v>
      </c>
    </row>
    <row r="18">
      <c r="A18" s="7">
        <v>4.0</v>
      </c>
      <c r="B18" s="8" t="s">
        <v>23</v>
      </c>
      <c r="C18" s="22"/>
      <c r="D18" s="10">
        <v>2.0</v>
      </c>
      <c r="E18" s="10" t="s">
        <v>10</v>
      </c>
      <c r="F18" s="11">
        <v>7000000.0</v>
      </c>
      <c r="G18" s="11">
        <f t="shared" si="2"/>
        <v>14000000</v>
      </c>
    </row>
    <row r="19">
      <c r="A19" s="7">
        <v>5.0</v>
      </c>
      <c r="B19" s="8" t="s">
        <v>27</v>
      </c>
      <c r="C19" s="22"/>
      <c r="D19" s="10">
        <v>3.0</v>
      </c>
      <c r="E19" s="10" t="s">
        <v>10</v>
      </c>
      <c r="F19" s="11">
        <v>2500000.0</v>
      </c>
      <c r="G19" s="11">
        <f t="shared" si="2"/>
        <v>7500000</v>
      </c>
    </row>
    <row r="20">
      <c r="A20" s="7">
        <v>6.0</v>
      </c>
      <c r="B20" s="8" t="s">
        <v>28</v>
      </c>
      <c r="C20" s="22"/>
      <c r="D20" s="10">
        <v>1.0</v>
      </c>
      <c r="E20" s="10" t="s">
        <v>10</v>
      </c>
      <c r="F20" s="11">
        <v>6500000.0</v>
      </c>
      <c r="G20" s="11">
        <f t="shared" si="2"/>
        <v>6500000</v>
      </c>
    </row>
    <row r="21">
      <c r="A21" s="7">
        <v>7.0</v>
      </c>
      <c r="B21" s="28" t="s">
        <v>25</v>
      </c>
      <c r="C21" s="23"/>
      <c r="D21" s="29">
        <v>1.0</v>
      </c>
      <c r="E21" s="29" t="s">
        <v>10</v>
      </c>
      <c r="F21" s="30">
        <v>2500000.0</v>
      </c>
      <c r="G21" s="30">
        <f t="shared" si="2"/>
        <v>2500000</v>
      </c>
    </row>
    <row r="22">
      <c r="A22" s="18"/>
      <c r="B22" s="19" t="s">
        <v>18</v>
      </c>
      <c r="G22" s="20">
        <f>SUM(G15:G21)</f>
        <v>32850000</v>
      </c>
    </row>
    <row r="23">
      <c r="A23" s="7">
        <v>1.0</v>
      </c>
      <c r="B23" s="24" t="s">
        <v>19</v>
      </c>
      <c r="C23" s="25" t="s">
        <v>29</v>
      </c>
      <c r="D23" s="26">
        <v>1.0</v>
      </c>
      <c r="E23" s="26" t="s">
        <v>10</v>
      </c>
      <c r="F23" s="27">
        <v>1500000.0</v>
      </c>
      <c r="G23" s="27">
        <f t="shared" ref="G23:G29" si="3">D23*F23</f>
        <v>1500000</v>
      </c>
    </row>
    <row r="24">
      <c r="A24" s="7">
        <v>2.0</v>
      </c>
      <c r="B24" s="8" t="s">
        <v>21</v>
      </c>
      <c r="C24" s="22"/>
      <c r="D24" s="10">
        <v>1.0</v>
      </c>
      <c r="E24" s="10" t="s">
        <v>10</v>
      </c>
      <c r="F24" s="11">
        <v>450000.0</v>
      </c>
      <c r="G24" s="11">
        <f t="shared" si="3"/>
        <v>450000</v>
      </c>
    </row>
    <row r="25">
      <c r="A25" s="7">
        <v>3.0</v>
      </c>
      <c r="B25" s="8" t="s">
        <v>22</v>
      </c>
      <c r="C25" s="22"/>
      <c r="D25" s="10">
        <v>2.0</v>
      </c>
      <c r="E25" s="10" t="s">
        <v>10</v>
      </c>
      <c r="F25" s="11">
        <v>400000.0</v>
      </c>
      <c r="G25" s="11">
        <f t="shared" si="3"/>
        <v>800000</v>
      </c>
    </row>
    <row r="26">
      <c r="A26" s="7">
        <v>4.0</v>
      </c>
      <c r="B26" s="8" t="s">
        <v>23</v>
      </c>
      <c r="C26" s="22"/>
      <c r="D26" s="10">
        <v>1.0</v>
      </c>
      <c r="E26" s="10" t="s">
        <v>10</v>
      </c>
      <c r="F26" s="11">
        <v>7000000.0</v>
      </c>
      <c r="G26" s="11">
        <f t="shared" si="3"/>
        <v>7000000</v>
      </c>
    </row>
    <row r="27">
      <c r="A27" s="7">
        <v>5.0</v>
      </c>
      <c r="B27" s="8" t="s">
        <v>28</v>
      </c>
      <c r="C27" s="22"/>
      <c r="D27" s="10">
        <v>3.0</v>
      </c>
      <c r="E27" s="10" t="s">
        <v>10</v>
      </c>
      <c r="F27" s="11">
        <v>6500000.0</v>
      </c>
      <c r="G27" s="11">
        <f t="shared" si="3"/>
        <v>19500000</v>
      </c>
    </row>
    <row r="28">
      <c r="A28" s="7">
        <v>6.0</v>
      </c>
      <c r="B28" s="28" t="s">
        <v>30</v>
      </c>
      <c r="C28" s="22"/>
      <c r="D28" s="29">
        <v>1.0</v>
      </c>
      <c r="E28" s="29" t="s">
        <v>10</v>
      </c>
      <c r="F28" s="30">
        <v>3500000.0</v>
      </c>
      <c r="G28" s="30">
        <f t="shared" si="3"/>
        <v>3500000</v>
      </c>
    </row>
    <row r="29">
      <c r="A29" s="7">
        <v>7.0</v>
      </c>
      <c r="B29" s="28" t="s">
        <v>25</v>
      </c>
      <c r="C29" s="23"/>
      <c r="D29" s="29">
        <v>1.0</v>
      </c>
      <c r="E29" s="29" t="s">
        <v>10</v>
      </c>
      <c r="F29" s="30">
        <v>2500000.0</v>
      </c>
      <c r="G29" s="30">
        <f t="shared" si="3"/>
        <v>2500000</v>
      </c>
    </row>
    <row r="30">
      <c r="A30" s="18"/>
      <c r="B30" s="19" t="s">
        <v>18</v>
      </c>
      <c r="G30" s="20">
        <f>SUM(G23:G29)</f>
        <v>35250000</v>
      </c>
    </row>
    <row r="31">
      <c r="A31" s="7">
        <v>1.0</v>
      </c>
      <c r="B31" s="24" t="s">
        <v>19</v>
      </c>
      <c r="C31" s="25" t="s">
        <v>31</v>
      </c>
      <c r="D31" s="26">
        <v>1.0</v>
      </c>
      <c r="E31" s="26" t="s">
        <v>10</v>
      </c>
      <c r="F31" s="27">
        <v>1500000.0</v>
      </c>
      <c r="G31" s="27">
        <f t="shared" ref="G31:G35" si="4">D31*F31</f>
        <v>1500000</v>
      </c>
    </row>
    <row r="32">
      <c r="A32" s="7">
        <v>2.0</v>
      </c>
      <c r="B32" s="8" t="s">
        <v>21</v>
      </c>
      <c r="C32" s="22"/>
      <c r="D32" s="10">
        <v>1.0</v>
      </c>
      <c r="E32" s="10" t="s">
        <v>10</v>
      </c>
      <c r="F32" s="11">
        <v>450000.0</v>
      </c>
      <c r="G32" s="11">
        <f t="shared" si="4"/>
        <v>450000</v>
      </c>
    </row>
    <row r="33">
      <c r="A33" s="7">
        <v>3.0</v>
      </c>
      <c r="B33" s="8" t="s">
        <v>23</v>
      </c>
      <c r="C33" s="22"/>
      <c r="D33" s="10">
        <v>3.0</v>
      </c>
      <c r="E33" s="10" t="s">
        <v>10</v>
      </c>
      <c r="F33" s="11">
        <v>7000000.0</v>
      </c>
      <c r="G33" s="11">
        <f t="shared" si="4"/>
        <v>21000000</v>
      </c>
    </row>
    <row r="34">
      <c r="A34" s="7">
        <v>4.0</v>
      </c>
      <c r="B34" s="8" t="s">
        <v>28</v>
      </c>
      <c r="C34" s="22"/>
      <c r="D34" s="10">
        <v>4.0</v>
      </c>
      <c r="E34" s="10" t="s">
        <v>10</v>
      </c>
      <c r="F34" s="11">
        <v>6500000.0</v>
      </c>
      <c r="G34" s="11">
        <f t="shared" si="4"/>
        <v>26000000</v>
      </c>
    </row>
    <row r="35">
      <c r="A35" s="7">
        <v>5.0</v>
      </c>
      <c r="B35" s="28" t="s">
        <v>27</v>
      </c>
      <c r="C35" s="23"/>
      <c r="D35" s="29">
        <v>2.0</v>
      </c>
      <c r="E35" s="29" t="s">
        <v>10</v>
      </c>
      <c r="F35" s="30">
        <v>2500000.0</v>
      </c>
      <c r="G35" s="30">
        <f t="shared" si="4"/>
        <v>5000000</v>
      </c>
    </row>
    <row r="36">
      <c r="A36" s="18"/>
      <c r="B36" s="19" t="s">
        <v>18</v>
      </c>
      <c r="G36" s="20">
        <f>SUM(G31:G35)</f>
        <v>53950000</v>
      </c>
    </row>
    <row r="37">
      <c r="A37" s="7">
        <v>1.0</v>
      </c>
      <c r="B37" s="24" t="s">
        <v>19</v>
      </c>
      <c r="C37" s="21" t="s">
        <v>32</v>
      </c>
      <c r="D37" s="26">
        <v>1.0</v>
      </c>
      <c r="E37" s="26" t="s">
        <v>10</v>
      </c>
      <c r="F37" s="27">
        <v>1500000.0</v>
      </c>
      <c r="G37" s="27">
        <f t="shared" ref="G37:G43" si="5">D37*F37</f>
        <v>1500000</v>
      </c>
    </row>
    <row r="38">
      <c r="A38" s="7">
        <v>2.0</v>
      </c>
      <c r="B38" s="8" t="s">
        <v>21</v>
      </c>
      <c r="C38" s="22"/>
      <c r="D38" s="10">
        <v>1.0</v>
      </c>
      <c r="E38" s="10" t="s">
        <v>10</v>
      </c>
      <c r="F38" s="11">
        <v>450000.0</v>
      </c>
      <c r="G38" s="11">
        <f t="shared" si="5"/>
        <v>450000</v>
      </c>
    </row>
    <row r="39">
      <c r="A39" s="7">
        <v>3.0</v>
      </c>
      <c r="B39" s="8" t="s">
        <v>27</v>
      </c>
      <c r="C39" s="22"/>
      <c r="D39" s="10">
        <v>2.0</v>
      </c>
      <c r="E39" s="10" t="s">
        <v>10</v>
      </c>
      <c r="F39" s="11">
        <v>2500000.0</v>
      </c>
      <c r="G39" s="11">
        <f t="shared" si="5"/>
        <v>5000000</v>
      </c>
    </row>
    <row r="40">
      <c r="A40" s="7">
        <v>4.0</v>
      </c>
      <c r="B40" s="8" t="s">
        <v>23</v>
      </c>
      <c r="C40" s="22"/>
      <c r="D40" s="10">
        <v>3.0</v>
      </c>
      <c r="E40" s="10" t="s">
        <v>10</v>
      </c>
      <c r="F40" s="11">
        <v>7000000.0</v>
      </c>
      <c r="G40" s="11">
        <f t="shared" si="5"/>
        <v>21000000</v>
      </c>
    </row>
    <row r="41">
      <c r="A41" s="7">
        <v>5.0</v>
      </c>
      <c r="B41" s="8" t="s">
        <v>28</v>
      </c>
      <c r="C41" s="22"/>
      <c r="D41" s="10">
        <v>2.0</v>
      </c>
      <c r="E41" s="10" t="s">
        <v>10</v>
      </c>
      <c r="F41" s="11">
        <v>6500000.0</v>
      </c>
      <c r="G41" s="11">
        <f t="shared" si="5"/>
        <v>13000000</v>
      </c>
    </row>
    <row r="42">
      <c r="A42" s="7">
        <v>6.0</v>
      </c>
      <c r="B42" s="28" t="s">
        <v>25</v>
      </c>
      <c r="C42" s="22"/>
      <c r="D42" s="29">
        <v>2.0</v>
      </c>
      <c r="E42" s="29" t="s">
        <v>10</v>
      </c>
      <c r="F42" s="30">
        <v>2500000.0</v>
      </c>
      <c r="G42" s="30">
        <f t="shared" si="5"/>
        <v>5000000</v>
      </c>
    </row>
    <row r="43">
      <c r="A43" s="12">
        <v>7.0</v>
      </c>
      <c r="B43" s="8" t="s">
        <v>22</v>
      </c>
      <c r="C43" s="23"/>
      <c r="D43" s="10">
        <v>1.0</v>
      </c>
      <c r="E43" s="10" t="s">
        <v>10</v>
      </c>
      <c r="F43" s="11">
        <v>400000.0</v>
      </c>
      <c r="G43" s="11">
        <f t="shared" si="5"/>
        <v>400000</v>
      </c>
    </row>
    <row r="44">
      <c r="A44" s="18"/>
      <c r="B44" s="19" t="s">
        <v>18</v>
      </c>
      <c r="G44" s="20">
        <f>SUM(G37:G43)</f>
        <v>46350000</v>
      </c>
    </row>
    <row r="45">
      <c r="A45" s="7">
        <v>1.0</v>
      </c>
      <c r="B45" s="24" t="s">
        <v>19</v>
      </c>
      <c r="C45" s="25" t="s">
        <v>33</v>
      </c>
      <c r="D45" s="26">
        <v>1.0</v>
      </c>
      <c r="E45" s="26" t="s">
        <v>10</v>
      </c>
      <c r="F45" s="27">
        <v>1500000.0</v>
      </c>
      <c r="G45" s="27">
        <f t="shared" ref="G45:G50" si="6">D45*F45</f>
        <v>1500000</v>
      </c>
    </row>
    <row r="46">
      <c r="A46" s="7">
        <v>2.0</v>
      </c>
      <c r="B46" s="8" t="s">
        <v>21</v>
      </c>
      <c r="C46" s="22"/>
      <c r="D46" s="10">
        <v>1.0</v>
      </c>
      <c r="E46" s="10" t="s">
        <v>10</v>
      </c>
      <c r="F46" s="11">
        <v>450000.0</v>
      </c>
      <c r="G46" s="11">
        <f t="shared" si="6"/>
        <v>450000</v>
      </c>
    </row>
    <row r="47">
      <c r="A47" s="7">
        <v>3.0</v>
      </c>
      <c r="B47" s="8" t="s">
        <v>27</v>
      </c>
      <c r="C47" s="22"/>
      <c r="D47" s="10">
        <v>2.0</v>
      </c>
      <c r="E47" s="10" t="s">
        <v>10</v>
      </c>
      <c r="F47" s="11">
        <v>2500000.0</v>
      </c>
      <c r="G47" s="11">
        <f t="shared" si="6"/>
        <v>5000000</v>
      </c>
    </row>
    <row r="48">
      <c r="A48" s="7">
        <v>4.0</v>
      </c>
      <c r="B48" s="8" t="s">
        <v>23</v>
      </c>
      <c r="C48" s="22"/>
      <c r="D48" s="10">
        <v>2.0</v>
      </c>
      <c r="E48" s="10" t="s">
        <v>10</v>
      </c>
      <c r="F48" s="11">
        <v>7000000.0</v>
      </c>
      <c r="G48" s="11">
        <f t="shared" si="6"/>
        <v>14000000</v>
      </c>
    </row>
    <row r="49">
      <c r="A49" s="7">
        <v>5.0</v>
      </c>
      <c r="B49" s="8" t="s">
        <v>28</v>
      </c>
      <c r="C49" s="22"/>
      <c r="D49" s="10">
        <v>2.0</v>
      </c>
      <c r="E49" s="10" t="s">
        <v>10</v>
      </c>
      <c r="F49" s="11">
        <v>6500000.0</v>
      </c>
      <c r="G49" s="11">
        <f t="shared" si="6"/>
        <v>13000000</v>
      </c>
    </row>
    <row r="50">
      <c r="A50" s="7">
        <v>6.0</v>
      </c>
      <c r="B50" s="28" t="s">
        <v>25</v>
      </c>
      <c r="C50" s="23"/>
      <c r="D50" s="29">
        <v>1.0</v>
      </c>
      <c r="E50" s="29" t="s">
        <v>10</v>
      </c>
      <c r="F50" s="30">
        <v>2500000.0</v>
      </c>
      <c r="G50" s="30">
        <f t="shared" si="6"/>
        <v>2500000</v>
      </c>
    </row>
    <row r="51">
      <c r="A51" s="18"/>
      <c r="B51" s="19" t="s">
        <v>18</v>
      </c>
      <c r="G51" s="20">
        <f>SUM(G45:G50)</f>
        <v>36450000</v>
      </c>
    </row>
    <row r="52">
      <c r="A52" s="7">
        <v>1.0</v>
      </c>
      <c r="B52" s="8" t="s">
        <v>19</v>
      </c>
      <c r="C52" s="21" t="s">
        <v>34</v>
      </c>
      <c r="D52" s="10">
        <v>1.0</v>
      </c>
      <c r="E52" s="10" t="s">
        <v>10</v>
      </c>
      <c r="F52" s="11">
        <v>1500000.0</v>
      </c>
      <c r="G52" s="11">
        <f t="shared" ref="G52:G58" si="7">D52*F52</f>
        <v>1500000</v>
      </c>
    </row>
    <row r="53">
      <c r="A53" s="7">
        <v>2.0</v>
      </c>
      <c r="B53" s="8" t="s">
        <v>21</v>
      </c>
      <c r="C53" s="22"/>
      <c r="D53" s="10">
        <v>1.0</v>
      </c>
      <c r="E53" s="10" t="s">
        <v>10</v>
      </c>
      <c r="F53" s="11">
        <v>450000.0</v>
      </c>
      <c r="G53" s="11">
        <f t="shared" si="7"/>
        <v>450000</v>
      </c>
    </row>
    <row r="54">
      <c r="A54" s="7">
        <v>3.0</v>
      </c>
      <c r="B54" s="8" t="s">
        <v>22</v>
      </c>
      <c r="C54" s="22"/>
      <c r="D54" s="10">
        <v>2.0</v>
      </c>
      <c r="E54" s="10" t="s">
        <v>10</v>
      </c>
      <c r="F54" s="11">
        <v>400000.0</v>
      </c>
      <c r="G54" s="11">
        <f t="shared" si="7"/>
        <v>800000</v>
      </c>
    </row>
    <row r="55">
      <c r="A55" s="7">
        <v>4.0</v>
      </c>
      <c r="B55" s="8" t="s">
        <v>30</v>
      </c>
      <c r="C55" s="22"/>
      <c r="D55" s="10">
        <v>1.0</v>
      </c>
      <c r="E55" s="10" t="s">
        <v>10</v>
      </c>
      <c r="F55" s="11">
        <v>3500000.0</v>
      </c>
      <c r="G55" s="11">
        <f t="shared" si="7"/>
        <v>3500000</v>
      </c>
    </row>
    <row r="56">
      <c r="A56" s="7">
        <v>5.0</v>
      </c>
      <c r="B56" s="8" t="s">
        <v>28</v>
      </c>
      <c r="C56" s="22"/>
      <c r="D56" s="10">
        <v>3.0</v>
      </c>
      <c r="E56" s="10" t="s">
        <v>10</v>
      </c>
      <c r="F56" s="11">
        <v>6500000.0</v>
      </c>
      <c r="G56" s="11">
        <f t="shared" si="7"/>
        <v>19500000</v>
      </c>
    </row>
    <row r="57">
      <c r="A57" s="7">
        <v>6.0</v>
      </c>
      <c r="B57" s="8" t="s">
        <v>25</v>
      </c>
      <c r="C57" s="22"/>
      <c r="D57" s="10">
        <v>1.0</v>
      </c>
      <c r="E57" s="10" t="s">
        <v>10</v>
      </c>
      <c r="F57" s="11">
        <v>2500000.0</v>
      </c>
      <c r="G57" s="11">
        <f t="shared" si="7"/>
        <v>2500000</v>
      </c>
    </row>
    <row r="58">
      <c r="A58" s="12">
        <v>7.0</v>
      </c>
      <c r="B58" s="8" t="s">
        <v>35</v>
      </c>
      <c r="C58" s="23"/>
      <c r="D58" s="10">
        <v>2.0</v>
      </c>
      <c r="E58" s="10" t="s">
        <v>10</v>
      </c>
      <c r="F58" s="11">
        <v>7000000.0</v>
      </c>
      <c r="G58" s="11">
        <f t="shared" si="7"/>
        <v>14000000</v>
      </c>
    </row>
    <row r="59">
      <c r="A59" s="18"/>
      <c r="B59" s="19" t="s">
        <v>18</v>
      </c>
      <c r="G59" s="20">
        <f>SUM(G52:G58)</f>
        <v>42250000</v>
      </c>
    </row>
    <row r="60">
      <c r="A60" s="7">
        <v>1.0</v>
      </c>
      <c r="B60" s="24" t="s">
        <v>19</v>
      </c>
      <c r="C60" s="25" t="s">
        <v>36</v>
      </c>
      <c r="D60" s="26">
        <v>1.0</v>
      </c>
      <c r="E60" s="26" t="s">
        <v>10</v>
      </c>
      <c r="F60" s="27">
        <v>1500000.0</v>
      </c>
      <c r="G60" s="27">
        <f t="shared" ref="G60:G64" si="8">D60*F60</f>
        <v>1500000</v>
      </c>
    </row>
    <row r="61">
      <c r="A61" s="7">
        <v>2.0</v>
      </c>
      <c r="B61" s="8" t="s">
        <v>21</v>
      </c>
      <c r="C61" s="22"/>
      <c r="D61" s="10">
        <v>1.0</v>
      </c>
      <c r="E61" s="10" t="s">
        <v>10</v>
      </c>
      <c r="F61" s="11">
        <v>450000.0</v>
      </c>
      <c r="G61" s="11">
        <f t="shared" si="8"/>
        <v>450000</v>
      </c>
    </row>
    <row r="62">
      <c r="A62" s="7">
        <v>3.0</v>
      </c>
      <c r="B62" s="8" t="s">
        <v>35</v>
      </c>
      <c r="C62" s="22"/>
      <c r="D62" s="10">
        <v>3.0</v>
      </c>
      <c r="E62" s="10" t="s">
        <v>10</v>
      </c>
      <c r="F62" s="11">
        <v>7000000.0</v>
      </c>
      <c r="G62" s="11">
        <f t="shared" si="8"/>
        <v>21000000</v>
      </c>
    </row>
    <row r="63">
      <c r="A63" s="7">
        <v>4.0</v>
      </c>
      <c r="B63" s="8" t="s">
        <v>28</v>
      </c>
      <c r="C63" s="22"/>
      <c r="D63" s="10">
        <v>3.0</v>
      </c>
      <c r="E63" s="10" t="s">
        <v>10</v>
      </c>
      <c r="F63" s="11">
        <v>6500000.0</v>
      </c>
      <c r="G63" s="11">
        <f t="shared" si="8"/>
        <v>19500000</v>
      </c>
    </row>
    <row r="64">
      <c r="A64" s="7">
        <v>5.0</v>
      </c>
      <c r="B64" s="28" t="s">
        <v>27</v>
      </c>
      <c r="C64" s="23"/>
      <c r="D64" s="29">
        <v>2.0</v>
      </c>
      <c r="E64" s="29" t="s">
        <v>10</v>
      </c>
      <c r="F64" s="30">
        <v>2500000.0</v>
      </c>
      <c r="G64" s="30">
        <f t="shared" si="8"/>
        <v>5000000</v>
      </c>
    </row>
    <row r="65">
      <c r="A65" s="18"/>
      <c r="B65" s="19" t="s">
        <v>18</v>
      </c>
      <c r="G65" s="20">
        <f>SUM(G60:G64)</f>
        <v>47450000</v>
      </c>
    </row>
    <row r="66">
      <c r="A66" s="7">
        <v>1.0</v>
      </c>
      <c r="B66" s="24" t="s">
        <v>19</v>
      </c>
      <c r="C66" s="25" t="s">
        <v>37</v>
      </c>
      <c r="D66" s="26">
        <v>1.0</v>
      </c>
      <c r="E66" s="26" t="s">
        <v>10</v>
      </c>
      <c r="F66" s="27">
        <v>1500000.0</v>
      </c>
      <c r="G66" s="27">
        <f t="shared" ref="G66:G71" si="9">D66*F66</f>
        <v>1500000</v>
      </c>
    </row>
    <row r="67">
      <c r="A67" s="7">
        <v>2.0</v>
      </c>
      <c r="B67" s="8" t="s">
        <v>21</v>
      </c>
      <c r="C67" s="22"/>
      <c r="D67" s="10">
        <v>1.0</v>
      </c>
      <c r="E67" s="10" t="s">
        <v>10</v>
      </c>
      <c r="F67" s="11">
        <v>450000.0</v>
      </c>
      <c r="G67" s="11">
        <f t="shared" si="9"/>
        <v>450000</v>
      </c>
    </row>
    <row r="68">
      <c r="A68" s="7">
        <v>3.0</v>
      </c>
      <c r="B68" s="8" t="s">
        <v>22</v>
      </c>
      <c r="C68" s="22"/>
      <c r="D68" s="10">
        <v>2.0</v>
      </c>
      <c r="E68" s="10" t="s">
        <v>10</v>
      </c>
      <c r="F68" s="11">
        <v>400000.0</v>
      </c>
      <c r="G68" s="11">
        <f t="shared" si="9"/>
        <v>800000</v>
      </c>
    </row>
    <row r="69">
      <c r="A69" s="7">
        <v>4.0</v>
      </c>
      <c r="B69" s="8" t="s">
        <v>28</v>
      </c>
      <c r="C69" s="22"/>
      <c r="D69" s="10">
        <v>2.0</v>
      </c>
      <c r="E69" s="10" t="s">
        <v>10</v>
      </c>
      <c r="F69" s="11">
        <v>6500000.0</v>
      </c>
      <c r="G69" s="11">
        <f t="shared" si="9"/>
        <v>13000000</v>
      </c>
    </row>
    <row r="70">
      <c r="A70" s="7">
        <v>5.0</v>
      </c>
      <c r="B70" s="28" t="s">
        <v>35</v>
      </c>
      <c r="C70" s="22"/>
      <c r="D70" s="29">
        <v>3.0</v>
      </c>
      <c r="E70" s="29" t="s">
        <v>10</v>
      </c>
      <c r="F70" s="30">
        <v>7000000.0</v>
      </c>
      <c r="G70" s="30">
        <f t="shared" si="9"/>
        <v>21000000</v>
      </c>
    </row>
    <row r="71">
      <c r="A71" s="7">
        <v>6.0</v>
      </c>
      <c r="B71" s="28" t="s">
        <v>25</v>
      </c>
      <c r="C71" s="23"/>
      <c r="D71" s="29">
        <v>2.0</v>
      </c>
      <c r="E71" s="29" t="s">
        <v>10</v>
      </c>
      <c r="F71" s="30">
        <v>2500000.0</v>
      </c>
      <c r="G71" s="30">
        <f t="shared" si="9"/>
        <v>5000000</v>
      </c>
    </row>
    <row r="72">
      <c r="A72" s="18"/>
      <c r="B72" s="19" t="s">
        <v>18</v>
      </c>
      <c r="G72" s="20">
        <f>SUM(G66:G71)</f>
        <v>41750000</v>
      </c>
    </row>
    <row r="73">
      <c r="A73" s="7">
        <v>1.0</v>
      </c>
      <c r="B73" s="8" t="s">
        <v>19</v>
      </c>
      <c r="C73" s="21" t="s">
        <v>38</v>
      </c>
      <c r="D73" s="10">
        <v>1.0</v>
      </c>
      <c r="E73" s="10" t="s">
        <v>10</v>
      </c>
      <c r="F73" s="11">
        <v>1500000.0</v>
      </c>
      <c r="G73" s="11">
        <f t="shared" ref="G73:G78" si="10">D73*F73</f>
        <v>1500000</v>
      </c>
    </row>
    <row r="74">
      <c r="A74" s="7">
        <v>2.0</v>
      </c>
      <c r="B74" s="8" t="s">
        <v>21</v>
      </c>
      <c r="C74" s="22"/>
      <c r="D74" s="10">
        <v>1.0</v>
      </c>
      <c r="E74" s="10" t="s">
        <v>10</v>
      </c>
      <c r="F74" s="11">
        <v>450000.0</v>
      </c>
      <c r="G74" s="11">
        <f t="shared" si="10"/>
        <v>450000</v>
      </c>
    </row>
    <row r="75">
      <c r="A75" s="7">
        <v>3.0</v>
      </c>
      <c r="B75" s="8" t="s">
        <v>22</v>
      </c>
      <c r="C75" s="22"/>
      <c r="D75" s="10">
        <v>1.0</v>
      </c>
      <c r="E75" s="10" t="s">
        <v>10</v>
      </c>
      <c r="F75" s="11">
        <v>400000.0</v>
      </c>
      <c r="G75" s="11">
        <f t="shared" si="10"/>
        <v>400000</v>
      </c>
    </row>
    <row r="76">
      <c r="A76" s="7">
        <v>4.0</v>
      </c>
      <c r="B76" s="8" t="s">
        <v>28</v>
      </c>
      <c r="C76" s="22"/>
      <c r="D76" s="10">
        <v>4.0</v>
      </c>
      <c r="E76" s="10" t="s">
        <v>10</v>
      </c>
      <c r="F76" s="11">
        <v>6500000.0</v>
      </c>
      <c r="G76" s="11">
        <f t="shared" si="10"/>
        <v>26000000</v>
      </c>
    </row>
    <row r="77">
      <c r="A77" s="7">
        <v>5.0</v>
      </c>
      <c r="B77" s="8" t="s">
        <v>35</v>
      </c>
      <c r="C77" s="22"/>
      <c r="D77" s="10">
        <v>3.0</v>
      </c>
      <c r="E77" s="10" t="s">
        <v>10</v>
      </c>
      <c r="F77" s="11">
        <v>7000000.0</v>
      </c>
      <c r="G77" s="11">
        <f t="shared" si="10"/>
        <v>21000000</v>
      </c>
    </row>
    <row r="78">
      <c r="A78" s="12">
        <v>6.0</v>
      </c>
      <c r="B78" s="8" t="s">
        <v>25</v>
      </c>
      <c r="C78" s="23"/>
      <c r="D78" s="10">
        <v>2.0</v>
      </c>
      <c r="E78" s="10" t="s">
        <v>10</v>
      </c>
      <c r="F78" s="11">
        <v>2500000.0</v>
      </c>
      <c r="G78" s="11">
        <f t="shared" si="10"/>
        <v>5000000</v>
      </c>
    </row>
    <row r="79">
      <c r="A79" s="18"/>
      <c r="B79" s="19" t="s">
        <v>18</v>
      </c>
      <c r="G79" s="20">
        <f>SUM(G73:G78)</f>
        <v>54350000</v>
      </c>
    </row>
    <row r="80">
      <c r="A80" s="7"/>
      <c r="B80" s="31" t="s">
        <v>1</v>
      </c>
      <c r="C80" s="32" t="s">
        <v>2</v>
      </c>
      <c r="D80" s="26" t="s">
        <v>3</v>
      </c>
      <c r="E80" s="32" t="s">
        <v>4</v>
      </c>
      <c r="F80" s="32" t="s">
        <v>5</v>
      </c>
      <c r="G80" s="33" t="s">
        <v>6</v>
      </c>
    </row>
    <row r="81">
      <c r="A81" s="7">
        <v>1.0</v>
      </c>
      <c r="B81" s="34" t="s">
        <v>39</v>
      </c>
      <c r="C81" s="35" t="s">
        <v>40</v>
      </c>
      <c r="D81" s="36">
        <v>1.0</v>
      </c>
      <c r="E81" s="37" t="s">
        <v>41</v>
      </c>
      <c r="F81" s="38">
        <v>1.5E7</v>
      </c>
      <c r="G81" s="38">
        <f t="shared" ref="G81:G83" si="11">D81*F81</f>
        <v>15000000</v>
      </c>
    </row>
    <row r="82">
      <c r="A82" s="7">
        <v>2.0</v>
      </c>
      <c r="B82" s="39" t="s">
        <v>42</v>
      </c>
      <c r="C82" s="35" t="s">
        <v>43</v>
      </c>
      <c r="D82" s="37">
        <v>12.0</v>
      </c>
      <c r="E82" s="37" t="s">
        <v>44</v>
      </c>
      <c r="F82" s="38">
        <v>2500000.0</v>
      </c>
      <c r="G82" s="38">
        <f t="shared" si="11"/>
        <v>30000000</v>
      </c>
    </row>
    <row r="83">
      <c r="A83" s="7">
        <v>3.0</v>
      </c>
      <c r="B83" s="39" t="s">
        <v>45</v>
      </c>
      <c r="C83" s="35" t="s">
        <v>46</v>
      </c>
      <c r="D83" s="37">
        <v>1.0</v>
      </c>
      <c r="E83" s="37" t="s">
        <v>41</v>
      </c>
      <c r="F83" s="38">
        <v>5000000.0</v>
      </c>
      <c r="G83" s="38">
        <f t="shared" si="11"/>
        <v>5000000</v>
      </c>
    </row>
    <row r="84">
      <c r="A84" s="7"/>
      <c r="B84" s="40" t="s">
        <v>18</v>
      </c>
      <c r="C84" s="41"/>
      <c r="D84" s="41"/>
      <c r="E84" s="41"/>
      <c r="F84" s="42"/>
      <c r="G84" s="43">
        <f>SUM(G81:G83)</f>
        <v>50000000</v>
      </c>
    </row>
    <row r="85">
      <c r="A85" s="3"/>
      <c r="B85" s="44" t="s">
        <v>47</v>
      </c>
      <c r="C85" s="5"/>
      <c r="D85" s="5"/>
      <c r="E85" s="5"/>
      <c r="F85" s="6"/>
      <c r="G85" s="45">
        <f>SUM(G7+G14+G22+G30+G36+G44+G51+G59+G65+G72+G79+G84)</f>
        <v>506750000</v>
      </c>
    </row>
  </sheetData>
  <mergeCells count="24">
    <mergeCell ref="B2:G2"/>
    <mergeCell ref="B7:F7"/>
    <mergeCell ref="B14:F14"/>
    <mergeCell ref="B22:F22"/>
    <mergeCell ref="B30:F30"/>
    <mergeCell ref="C31:C35"/>
    <mergeCell ref="C8:C13"/>
    <mergeCell ref="C23:C29"/>
    <mergeCell ref="C15:C21"/>
    <mergeCell ref="C37:C43"/>
    <mergeCell ref="C45:C50"/>
    <mergeCell ref="C60:C64"/>
    <mergeCell ref="C52:C58"/>
    <mergeCell ref="C66:C71"/>
    <mergeCell ref="C73:C78"/>
    <mergeCell ref="B84:F84"/>
    <mergeCell ref="B85:F85"/>
    <mergeCell ref="B36:F36"/>
    <mergeCell ref="B44:F44"/>
    <mergeCell ref="B51:F51"/>
    <mergeCell ref="B65:F65"/>
    <mergeCell ref="B72:F72"/>
    <mergeCell ref="B79:F79"/>
    <mergeCell ref="B59:F59"/>
  </mergeCells>
  <drawing r:id="rId1"/>
</worksheet>
</file>